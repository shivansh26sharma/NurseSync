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codeName="ThisWorkbook"/>
  <mc:AlternateContent xmlns:mc="http://schemas.openxmlformats.org/markup-compatibility/2006">
    <mc:Choice Requires="x15">
      <x15ac:absPath xmlns:x15ac="http://schemas.microsoft.com/office/spreadsheetml/2010/11/ac" url="C:\Users\Vertex42.com\Documents\VERTEX42\TEMPLATES\TEMPLATE - MICROSOFT\"/>
    </mc:Choice>
  </mc:AlternateContent>
  <xr:revisionPtr revIDLastSave="0" documentId="13_ncr:1_{04DC1D98-FF02-4AF1-BC5D-53A4ADC473E0}" xr6:coauthVersionLast="45" xr6:coauthVersionMax="45" xr10:uidLastSave="{00000000-0000-0000-0000-000000000000}"/>
  <bookViews>
    <workbookView xWindow="390" yWindow="390" windowWidth="23955" windowHeight="14385" xr2:uid="{00000000-000D-0000-FFFF-FFFF00000000}"/>
  </bookViews>
  <sheets>
    <sheet name="ProjectSchedule" sheetId="11" r:id="rId1"/>
    <sheet name="About" sheetId="12" r:id="rId2"/>
  </sheets>
  <definedNames>
    <definedName name="_xlnm.Print_Area" localSheetId="0">ProjectSchedule!$1:$41</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3" i="12" l="1"/>
  <c r="J1" i="11"/>
  <c r="H41" i="11" l="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I5" i="11" l="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<sst xmlns="http://schemas.openxmlformats.org/spreadsheetml/2006/main" count="244" uniqueCount="37">
  <si>
    <t>Phase 1 Title</t>
  </si>
  <si>
    <t>Task 3</t>
  </si>
  <si>
    <t>Task 4</t>
  </si>
  <si>
    <t>Task 5</t>
  </si>
  <si>
    <t>Phase 2 Title</t>
  </si>
  <si>
    <t>Task 1</t>
  </si>
  <si>
    <t>Task 2</t>
  </si>
  <si>
    <t>Insert new rows ABOVE this one</t>
  </si>
  <si>
    <t>Project Start:</t>
  </si>
  <si>
    <t>PROGRESS</t>
  </si>
  <si>
    <t>ASSIGNED
TO</t>
  </si>
  <si>
    <t>PROJECT TITLE</t>
  </si>
  <si>
    <t>[Project Lead]</t>
  </si>
  <si>
    <t>[Company Name]</t>
  </si>
  <si>
    <t>Project Management Templates</t>
  </si>
  <si>
    <t>START</t>
  </si>
  <si>
    <t>END</t>
  </si>
  <si>
    <t>DAYS</t>
  </si>
  <si>
    <t>Display Week:</t>
  </si>
  <si>
    <t>TASK</t>
  </si>
  <si>
    <t>Phase 3 Title</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</si>
  <si>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</si>
  <si>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</si>
  <si>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</si>
  <si>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</si>
  <si>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</si>
  <si>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</si>
  <si>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</si>
  <si>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</si>
  <si>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</si>
  <si>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</si>
  <si>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</si>
  <si>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Phase 4 Title</t>
  </si>
  <si>
    <t>Phase 5 Title</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</si>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</sst>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09">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NumberFormat="1"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7" fontId="12" fillId="8" borderId="0" xfId="0" applyNumberFormat="1" applyFont="1" applyFill="1" applyBorder="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Font="1" applyFill="1" applyBorder="1" applyAlignment="1">
      <alignment horizontal="left" vertical="center" indent="1"/>
    </xf>
    <xf numFmtId="0" fontId="0" fillId="0" borderId="2" xfId="0" applyFont="1" applyFill="1"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Font="1" applyFill="1" applyBorder="1" applyAlignment="1">
      <alignment horizontal="center" vertical="center"/>
    </xf>
    <xf numFmtId="164" fontId="5" fillId="0" borderId="2" xfId="0" applyNumberFormat="1" applyFont="1" applyFill="1" applyBorder="1" applyAlignment="1">
      <alignment horizontal="center" vertical="center"/>
    </xf>
    <xf numFmtId="0" fontId="5" fillId="0" borderId="2" xfId="0" applyNumberFormat="1" applyFont="1" applyFill="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on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ont="1" applyFill="1" applyBorder="1" applyAlignment="1">
      <alignment horizontal="left" vertical="center" indent="2"/>
    </xf>
    <xf numFmtId="0" fontId="0" fillId="3" borderId="2" xfId="0" applyFont="1"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ont="1" applyFill="1" applyBorder="1" applyAlignment="1">
      <alignment horizontal="center" vertical="center"/>
    </xf>
    <xf numFmtId="164" fontId="5" fillId="3" borderId="2" xfId="0" applyNumberFormat="1"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on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ont="1" applyFill="1" applyBorder="1" applyAlignment="1">
      <alignment horizontal="left" vertical="center" indent="2"/>
    </xf>
    <xf numFmtId="0" fontId="0" fillId="4" borderId="2" xfId="0" applyFont="1"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on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ont="1" applyFill="1" applyBorder="1" applyAlignment="1">
      <alignment horizontal="center" vertical="center"/>
    </xf>
    <xf numFmtId="164" fontId="5" fillId="6" borderId="2" xfId="0" applyNumberFormat="1" applyFont="1" applyFill="1" applyBorder="1" applyAlignment="1">
      <alignment horizontal="center" vertical="center"/>
    </xf>
    <xf numFmtId="0" fontId="0" fillId="13" borderId="2" xfId="0" applyFont="1" applyFill="1" applyBorder="1" applyAlignment="1">
      <alignment horizontal="left" vertical="center" indent="2"/>
    </xf>
    <xf numFmtId="0" fontId="0" fillId="13" borderId="2" xfId="0" applyFont="1" applyFill="1" applyBorder="1" applyAlignment="1">
      <alignment horizontal="center" vertical="center"/>
    </xf>
    <xf numFmtId="9" fontId="5" fillId="13" borderId="2" xfId="2" applyFont="1" applyFill="1" applyBorder="1" applyAlignment="1">
      <alignment horizontal="center" vertical="center"/>
    </xf>
    <xf numFmtId="164" fontId="0" fillId="13" borderId="2" xfId="0" applyNumberFormat="1" applyFont="1" applyFill="1" applyBorder="1" applyAlignment="1">
      <alignment horizontal="center" vertical="center"/>
    </xf>
    <xf numFmtId="164" fontId="5" fillId="13"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on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ont="1" applyFill="1" applyBorder="1" applyAlignment="1">
      <alignment horizontal="left" vertical="center" indent="2"/>
    </xf>
    <xf numFmtId="0" fontId="0" fillId="11" borderId="2" xfId="0" applyFont="1"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ont="1" applyFill="1" applyBorder="1" applyAlignment="1">
      <alignment horizontal="center" vertical="center"/>
    </xf>
    <xf numFmtId="164" fontId="5" fillId="11" borderId="2" xfId="0" applyNumberFormat="1"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on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ont="1" applyFill="1" applyBorder="1" applyAlignment="1">
      <alignment horizontal="left" vertical="center" indent="2"/>
    </xf>
    <xf numFmtId="0" fontId="0" fillId="12" borderId="2" xfId="0" applyFont="1"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ont="1" applyFill="1" applyBorder="1" applyAlignment="1">
      <alignment horizontal="center" vertical="center"/>
    </xf>
    <xf numFmtId="164" fontId="5" fillId="12"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NumberFormat="1"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pplyProtection="1">
      <alignment vertical="top"/>
    </xf>
    <xf numFmtId="0" fontId="2" fillId="0" borderId="0" xfId="0" applyFont="1"/>
    <xf numFmtId="0" fontId="20" fillId="0" borderId="0" xfId="0" applyFont="1" applyAlignment="1" applyProtection="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 fillId="0" borderId="0" xfId="0" applyFont="1" applyAlignment="1">
      <alignment vertical="top"/>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pplyProtection="1">
      <alignment vertical="top"/>
    </xf>
    <xf numFmtId="0" fontId="28" fillId="0" borderId="0" xfId="0" applyFont="1"/>
    <xf numFmtId="0" fontId="28" fillId="0" borderId="0" xfId="1" applyFont="1" applyAlignment="1" applyProtection="1"/>
    <xf numFmtId="166" fontId="0" fillId="8" borderId="6" xfId="0" applyNumberFormat="1" applyFont="1" applyFill="1" applyBorder="1" applyAlignment="1">
      <alignment horizontal="left" vertical="center" wrapText="1" indent="1"/>
    </xf>
    <xf numFmtId="166" fontId="0" fillId="8" borderId="1" xfId="0" applyNumberFormat="1" applyFont="1" applyFill="1" applyBorder="1" applyAlignment="1">
      <alignment horizontal="left" vertical="center" wrapText="1" indent="1"/>
    </xf>
    <xf numFmtId="166" fontId="0" fillId="8" borderId="7" xfId="0" applyNumberFormat="1" applyFont="1" applyFill="1" applyBorder="1" applyAlignment="1">
      <alignment horizontal="left" vertical="center" wrapText="1"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0" fontId="29" fillId="0" borderId="0" xfId="1" applyFont="1" applyAlignment="1" applyProtection="1">
      <alignment horizontal="left" vertical="center"/>
    </xf>
    <xf numFmtId="0" fontId="3" fillId="0" borderId="0" xfId="1" applyFill="1" applyAlignment="1" applyProtection="1">
      <alignment horizontal="left" indent="1"/>
    </xf>
  </cellXfs>
  <cellStyles count="3">
    <cellStyle name="Hyperlink" xfId="1" builtinId="8" customBuiltin="1"/>
    <cellStyle name="Normal" xfId="0" builtinId="0"/>
    <cellStyle name="Percent" xfId="2" builtinId="5"/>
  </cellStyles>
  <dxfs count="12">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5"/>
  <sheetViews>
    <sheetView showGridLines="0" tabSelected="1" showRuler="0" zoomScaleNormal="100" zoomScalePageLayoutView="70" workbookViewId="0">
      <pane ySplit="6" topLeftCell="A7" activePane="bottomLeft" state="frozen"/>
      <selection pane="bottomLeft"/>
    </sheetView>
  </sheetViews>
  <sheetFormatPr defaultRowHeight="15" x14ac:dyDescent="0.25"/>
  <cols>
    <col min="1" max="1" width="2.7109375" customWidth="1"/>
    <col min="2" max="2" width="19.85546875" customWidth="1"/>
    <col min="3" max="3" width="9.14062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28.5" x14ac:dyDescent="0.45">
      <c r="B1" s="16" t="inlineStr">
        <is>
          <t xml:space="preserve">NurseSync AI — Voice-Driven Nurse Shift Handoff System</t>
        </is>
      </c>
      <c r="C1" s="1"/>
      <c r="D1" s="2"/>
      <c r="E1" s="4"/>
      <c r="F1" s="98"/>
      <c r="H1" s="2"/>
      <c r="I1" s="8"/>
      <c r="J1" s="107" t="str">
        <f>HYPERLINK("https://vertex42.link/HowToMakeAGanttChart","► Watch How to Make a Gantt Chart in Excel")</f>
        <v>► Watch How to Make a Gantt Chart in Excel</v>
      </c>
      <c r="K1" s="107"/>
      <c r="L1" s="107"/>
      <c r="M1" s="107"/>
      <c r="N1" s="107"/>
      <c r="O1" s="107"/>
      <c r="P1" s="107"/>
      <c r="Q1" s="107"/>
      <c r="R1" s="107"/>
      <c r="S1" s="107"/>
      <c r="T1" s="107"/>
      <c r="U1" s="107"/>
      <c r="V1" s="107"/>
      <c r="W1" s="107"/>
      <c r="X1" s="107"/>
      <c r="Y1" s="107"/>
      <c r="Z1" s="107"/>
      <c r="AA1" s="107"/>
    </row>
    <row r="2" spans="1:64" ht="19.5" customHeight="1" x14ac:dyDescent="0.3">
      <c r="B2" s="9" t="inlineStr">
        <is>
          <t xml:space="preserve">Thapar Institute of Engineering &amp; Technology  |  UCS503P Software Engineering</t>
        </is>
      </c>
      <c r="D2" s="6" t="s">
        <v>8</v>
      </c>
      <c r="E2" s="105">
        <v>46237</v>
      </c>
      <c r="F2" s="106"/>
    </row>
    <row r="3" spans="1:64" ht="19.5" customHeight="1" x14ac:dyDescent="0.3">
      <c r="B3" s="9" t="inlineStr">
        <is>
          <t xml:space="preserve">Shivansh Sharma, Ishaan Bhalla, Pushp Batheja</t>
        </is>
      </c>
      <c r="D3" s="6" t="s">
        <v>35</v>
      </c>
      <c r="E3" s="105">
        <v>46279</v>
      </c>
      <c r="F3" s="106"/>
    </row>
    <row r="4" spans="1:64" ht="19.5" customHeight="1" x14ac:dyDescent="0.25">
      <c r="D4" s="6" t="s">
        <v>18</v>
      </c>
      <c r="E4" s="7">
        <v>1</v>
      </c>
      <c r="I4" s="102">
        <f>I5</f>
        <v>43465</v>
      </c>
      <c r="J4" s="103"/>
      <c r="K4" s="103"/>
      <c r="L4" s="103"/>
      <c r="M4" s="103"/>
      <c r="N4" s="103"/>
      <c r="O4" s="104"/>
      <c r="P4" s="102">
        <f>P5</f>
        <v>43472</v>
      </c>
      <c r="Q4" s="103"/>
      <c r="R4" s="103"/>
      <c r="S4" s="103"/>
      <c r="T4" s="103"/>
      <c r="U4" s="103"/>
      <c r="V4" s="104"/>
      <c r="W4" s="102">
        <f>W5</f>
        <v>43479</v>
      </c>
      <c r="X4" s="103"/>
      <c r="Y4" s="103"/>
      <c r="Z4" s="103"/>
      <c r="AA4" s="103"/>
      <c r="AB4" s="103"/>
      <c r="AC4" s="104"/>
      <c r="AD4" s="102">
        <f>AD5</f>
        <v>43486</v>
      </c>
      <c r="AE4" s="103"/>
      <c r="AF4" s="103"/>
      <c r="AG4" s="103"/>
      <c r="AH4" s="103"/>
      <c r="AI4" s="103"/>
      <c r="AJ4" s="104"/>
      <c r="AK4" s="102">
        <f>AK5</f>
        <v>43493</v>
      </c>
      <c r="AL4" s="103"/>
      <c r="AM4" s="103"/>
      <c r="AN4" s="103"/>
      <c r="AO4" s="103"/>
      <c r="AP4" s="103"/>
      <c r="AQ4" s="104"/>
      <c r="AR4" s="102">
        <f>AR5</f>
        <v>43500</v>
      </c>
      <c r="AS4" s="103"/>
      <c r="AT4" s="103"/>
      <c r="AU4" s="103"/>
      <c r="AV4" s="103"/>
      <c r="AW4" s="103"/>
      <c r="AX4" s="104"/>
      <c r="AY4" s="102">
        <f>AY5</f>
        <v>43507</v>
      </c>
      <c r="AZ4" s="103"/>
      <c r="BA4" s="103"/>
      <c r="BB4" s="103"/>
      <c r="BC4" s="103"/>
      <c r="BD4" s="103"/>
      <c r="BE4" s="104"/>
      <c r="BF4" s="102">
        <f>BF5</f>
        <v>43514</v>
      </c>
      <c r="BG4" s="103"/>
      <c r="BH4" s="103"/>
      <c r="BI4" s="103"/>
      <c r="BJ4" s="103"/>
      <c r="BK4" s="103"/>
      <c r="BL4" s="104"/>
    </row>
    <row r="5" spans="1:64" x14ac:dyDescent="0.25">
      <c r="A5" s="6"/>
      <c r="G5" s="6"/>
      <c r="I5" s="13">
        <f>E2-WEEKDAY(E2,1)+2+7*(E4-1)</f>
        <v>43465</v>
      </c>
      <c r="J5" s="12">
        <f>I5+1</f>
        <v>43466</v>
      </c>
      <c r="K5" s="12">
        <f t="shared" ref="K5:AX5" si="0">J5+1</f>
        <v>43467</v>
      </c>
      <c r="L5" s="12">
        <f t="shared" si="0"/>
        <v>43468</v>
      </c>
      <c r="M5" s="12">
        <f t="shared" si="0"/>
        <v>43469</v>
      </c>
      <c r="N5" s="12">
        <f t="shared" si="0"/>
        <v>43470</v>
      </c>
      <c r="O5" s="14">
        <f t="shared" si="0"/>
        <v>43471</v>
      </c>
      <c r="P5" s="13">
        <f>O5+1</f>
        <v>43472</v>
      </c>
      <c r="Q5" s="12">
        <f>P5+1</f>
        <v>43473</v>
      </c>
      <c r="R5" s="12">
        <f t="shared" si="0"/>
        <v>43474</v>
      </c>
      <c r="S5" s="12">
        <f t="shared" si="0"/>
        <v>43475</v>
      </c>
      <c r="T5" s="12">
        <f t="shared" si="0"/>
        <v>43476</v>
      </c>
      <c r="U5" s="12">
        <f t="shared" si="0"/>
        <v>43477</v>
      </c>
      <c r="V5" s="14">
        <f t="shared" si="0"/>
        <v>43478</v>
      </c>
      <c r="W5" s="13">
        <f>V5+1</f>
        <v>43479</v>
      </c>
      <c r="X5" s="12">
        <f>W5+1</f>
        <v>43480</v>
      </c>
      <c r="Y5" s="12">
        <f t="shared" si="0"/>
        <v>43481</v>
      </c>
      <c r="Z5" s="12">
        <f t="shared" si="0"/>
        <v>43482</v>
      </c>
      <c r="AA5" s="12">
        <f t="shared" si="0"/>
        <v>43483</v>
      </c>
      <c r="AB5" s="12">
        <f t="shared" si="0"/>
        <v>43484</v>
      </c>
      <c r="AC5" s="14">
        <f t="shared" si="0"/>
        <v>43485</v>
      </c>
      <c r="AD5" s="13">
        <f>AC5+1</f>
        <v>43486</v>
      </c>
      <c r="AE5" s="12">
        <f>AD5+1</f>
        <v>43487</v>
      </c>
      <c r="AF5" s="12">
        <f t="shared" si="0"/>
        <v>43488</v>
      </c>
      <c r="AG5" s="12">
        <f t="shared" si="0"/>
        <v>43489</v>
      </c>
      <c r="AH5" s="12">
        <f t="shared" si="0"/>
        <v>43490</v>
      </c>
      <c r="AI5" s="12">
        <f t="shared" si="0"/>
        <v>43491</v>
      </c>
      <c r="AJ5" s="14">
        <f t="shared" si="0"/>
        <v>43492</v>
      </c>
      <c r="AK5" s="13">
        <f>AJ5+1</f>
        <v>43493</v>
      </c>
      <c r="AL5" s="12">
        <f>AK5+1</f>
        <v>43494</v>
      </c>
      <c r="AM5" s="12">
        <f t="shared" si="0"/>
        <v>43495</v>
      </c>
      <c r="AN5" s="12">
        <f t="shared" si="0"/>
        <v>43496</v>
      </c>
      <c r="AO5" s="12">
        <f t="shared" si="0"/>
        <v>43497</v>
      </c>
      <c r="AP5" s="12">
        <f t="shared" si="0"/>
        <v>43498</v>
      </c>
      <c r="AQ5" s="14">
        <f t="shared" si="0"/>
        <v>43499</v>
      </c>
      <c r="AR5" s="13">
        <f>AQ5+1</f>
        <v>43500</v>
      </c>
      <c r="AS5" s="12">
        <f>AR5+1</f>
        <v>43501</v>
      </c>
      <c r="AT5" s="12">
        <f t="shared" si="0"/>
        <v>43502</v>
      </c>
      <c r="AU5" s="12">
        <f t="shared" si="0"/>
        <v>43503</v>
      </c>
      <c r="AV5" s="12">
        <f t="shared" si="0"/>
        <v>43504</v>
      </c>
      <c r="AW5" s="12">
        <f t="shared" si="0"/>
        <v>43505</v>
      </c>
      <c r="AX5" s="14">
        <f t="shared" si="0"/>
        <v>43506</v>
      </c>
      <c r="AY5" s="13">
        <f>AX5+1</f>
        <v>43507</v>
      </c>
      <c r="AZ5" s="12">
        <f>AY5+1</f>
        <v>43508</v>
      </c>
      <c r="BA5" s="12">
        <f t="shared" ref="BA5:BE5" si="1">AZ5+1</f>
        <v>43509</v>
      </c>
      <c r="BB5" s="12">
        <f t="shared" si="1"/>
        <v>43510</v>
      </c>
      <c r="BC5" s="12">
        <f t="shared" si="1"/>
        <v>43511</v>
      </c>
      <c r="BD5" s="12">
        <f t="shared" si="1"/>
        <v>43512</v>
      </c>
      <c r="BE5" s="14">
        <f t="shared" si="1"/>
        <v>43513</v>
      </c>
      <c r="BF5" s="13">
        <f>BE5+1</f>
        <v>43514</v>
      </c>
      <c r="BG5" s="12">
        <f>BF5+1</f>
        <v>43515</v>
      </c>
      <c r="BH5" s="12">
        <f t="shared" ref="BH5:BL5" si="2">BG5+1</f>
        <v>43516</v>
      </c>
      <c r="BI5" s="12">
        <f t="shared" si="2"/>
        <v>43517</v>
      </c>
      <c r="BJ5" s="12">
        <f t="shared" si="2"/>
        <v>43518</v>
      </c>
      <c r="BK5" s="12">
        <f t="shared" si="2"/>
        <v>43519</v>
      </c>
      <c r="BL5" s="14">
        <f t="shared" si="2"/>
        <v>43520</v>
      </c>
    </row>
    <row r="6" spans="1:64" ht="29.25" customHeight="1" thickBot="1" x14ac:dyDescent="0.3">
      <c r="A6" s="19"/>
      <c r="B6" s="10" t="s">
        <v>19</v>
      </c>
      <c r="C6" s="11" t="s">
        <v>10</v>
      </c>
      <c r="D6" s="11" t="s">
        <v>9</v>
      </c>
      <c r="E6" s="11" t="s">
        <v>15</v>
      </c>
      <c r="F6" s="11" t="s">
        <v>16</v>
      </c>
      <c r="G6" s="11"/>
      <c r="H6" s="11" t="s">
        <v>17</v>
      </c>
      <c r="I6" s="15" t="str">
        <f t="shared" ref="I6" si="3">LEFT(TEXT(I5,"ddd"),1)</f>
        <v>M</v>
      </c>
      <c r="J6" s="15" t="str">
        <f t="shared" ref="J6:AR6" si="4">LEFT(TEXT(J5,"ddd"),1)</f>
        <v>T</v>
      </c>
      <c r="K6" s="15" t="str">
        <f t="shared" si="4"/>
        <v>W</v>
      </c>
      <c r="L6" s="15" t="str">
        <f t="shared" si="4"/>
        <v>T</v>
      </c>
      <c r="M6" s="15" t="str">
        <f t="shared" si="4"/>
        <v>F</v>
      </c>
      <c r="N6" s="15" t="str">
        <f t="shared" si="4"/>
        <v>S</v>
      </c>
      <c r="O6" s="15" t="str">
        <f t="shared" si="4"/>
        <v>S</v>
      </c>
      <c r="P6" s="15" t="str">
        <f t="shared" si="4"/>
        <v>M</v>
      </c>
      <c r="Q6" s="15" t="str">
        <f t="shared" si="4"/>
        <v>T</v>
      </c>
      <c r="R6" s="15" t="str">
        <f t="shared" si="4"/>
        <v>W</v>
      </c>
      <c r="S6" s="15" t="str">
        <f t="shared" si="4"/>
        <v>T</v>
      </c>
      <c r="T6" s="15" t="str">
        <f t="shared" si="4"/>
        <v>F</v>
      </c>
      <c r="U6" s="15" t="str">
        <f t="shared" si="4"/>
        <v>S</v>
      </c>
      <c r="V6" s="15" t="str">
        <f t="shared" si="4"/>
        <v>S</v>
      </c>
      <c r="W6" s="15" t="str">
        <f t="shared" si="4"/>
        <v>M</v>
      </c>
      <c r="X6" s="15" t="str">
        <f t="shared" si="4"/>
        <v>T</v>
      </c>
      <c r="Y6" s="15" t="str">
        <f t="shared" si="4"/>
        <v>W</v>
      </c>
      <c r="Z6" s="15" t="str">
        <f t="shared" si="4"/>
        <v>T</v>
      </c>
      <c r="AA6" s="15" t="str">
        <f t="shared" si="4"/>
        <v>F</v>
      </c>
      <c r="AB6" s="15" t="str">
        <f t="shared" si="4"/>
        <v>S</v>
      </c>
      <c r="AC6" s="15" t="str">
        <f t="shared" si="4"/>
        <v>S</v>
      </c>
      <c r="AD6" s="15" t="str">
        <f t="shared" si="4"/>
        <v>M</v>
      </c>
      <c r="AE6" s="15" t="str">
        <f t="shared" si="4"/>
        <v>T</v>
      </c>
      <c r="AF6" s="15" t="str">
        <f t="shared" si="4"/>
        <v>W</v>
      </c>
      <c r="AG6" s="15" t="str">
        <f t="shared" si="4"/>
        <v>T</v>
      </c>
      <c r="AH6" s="15" t="str">
        <f t="shared" si="4"/>
        <v>F</v>
      </c>
      <c r="AI6" s="15" t="str">
        <f t="shared" si="4"/>
        <v>S</v>
      </c>
      <c r="AJ6" s="15" t="str">
        <f t="shared" si="4"/>
        <v>S</v>
      </c>
      <c r="AK6" s="15" t="str">
        <f t="shared" si="4"/>
        <v>M</v>
      </c>
      <c r="AL6" s="15" t="str">
        <f t="shared" si="4"/>
        <v>T</v>
      </c>
      <c r="AM6" s="15" t="str">
        <f t="shared" si="4"/>
        <v>W</v>
      </c>
      <c r="AN6" s="15" t="str">
        <f t="shared" si="4"/>
        <v>T</v>
      </c>
      <c r="AO6" s="15" t="str">
        <f t="shared" si="4"/>
        <v>F</v>
      </c>
      <c r="AP6" s="15" t="str">
        <f t="shared" si="4"/>
        <v>S</v>
      </c>
      <c r="AQ6" s="15" t="str">
        <f t="shared" si="4"/>
        <v>S</v>
      </c>
      <c r="AR6" s="15" t="str">
        <f t="shared" si="4"/>
        <v>M</v>
      </c>
      <c r="AS6" s="15" t="str">
        <f t="shared" ref="AS6:BL6" si="5">LEFT(TEXT(AS5,"ddd"),1)</f>
        <v>T</v>
      </c>
      <c r="AT6" s="15" t="str">
        <f t="shared" si="5"/>
        <v>W</v>
      </c>
      <c r="AU6" s="15" t="str">
        <f t="shared" si="5"/>
        <v>T</v>
      </c>
      <c r="AV6" s="15" t="str">
        <f t="shared" si="5"/>
        <v>F</v>
      </c>
      <c r="AW6" s="15" t="str">
        <f t="shared" si="5"/>
        <v>S</v>
      </c>
      <c r="AX6" s="15" t="str">
        <f t="shared" si="5"/>
        <v>S</v>
      </c>
      <c r="AY6" s="15" t="str">
        <f t="shared" si="5"/>
        <v>M</v>
      </c>
      <c r="AZ6" s="15" t="str">
        <f t="shared" si="5"/>
        <v>T</v>
      </c>
      <c r="BA6" s="15" t="str">
        <f t="shared" si="5"/>
        <v>W</v>
      </c>
      <c r="BB6" s="15" t="str">
        <f t="shared" si="5"/>
        <v>T</v>
      </c>
      <c r="BC6" s="15" t="str">
        <f t="shared" si="5"/>
        <v>F</v>
      </c>
      <c r="BD6" s="15" t="str">
        <f t="shared" si="5"/>
        <v>S</v>
      </c>
      <c r="BE6" s="15" t="str">
        <f t="shared" si="5"/>
        <v>S</v>
      </c>
      <c r="BF6" s="15" t="str">
        <f t="shared" si="5"/>
        <v>M</v>
      </c>
      <c r="BG6" s="15" t="str">
        <f t="shared" si="5"/>
        <v>T</v>
      </c>
      <c r="BH6" s="15" t="str">
        <f t="shared" si="5"/>
        <v>W</v>
      </c>
      <c r="BI6" s="15" t="str">
        <f t="shared" si="5"/>
        <v>T</v>
      </c>
      <c r="BJ6" s="15" t="str">
        <f t="shared" si="5"/>
        <v>F</v>
      </c>
      <c r="BK6" s="15" t="str">
        <f t="shared" si="5"/>
        <v>S</v>
      </c>
      <c r="BL6" s="15" t="str">
        <f t="shared" si="5"/>
        <v>S</v>
      </c>
    </row>
    <row r="7" spans="1:64" s="3" customFormat="1" ht="21.75" thickBot="1" x14ac:dyDescent="0.3">
      <c r="A7" s="19"/>
      <c r="B7" s="20"/>
      <c r="C7" s="21"/>
      <c r="D7" s="22"/>
      <c r="E7" s="23"/>
      <c r="F7" s="24"/>
      <c r="G7" s="25"/>
      <c r="H7" s="25" t="str">
        <f t="shared" ref="H7:H41" si="6">IF(OR(ISBLANK(task_start),ISBLANK(task_end)),"",task_end-task_start+1)</f>
        <v/>
      </c>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row>
    <row r="8" spans="1:64" s="3" customFormat="1" ht="21.75" thickBot="1" x14ac:dyDescent="0.3">
      <c r="A8" s="19"/>
      <c r="B8" s="26" t="inlineStr">
        <is>
          <t xml:space="preserve">PHASE 1: INCEPTION &amp; IDEATION</t>
        </is>
      </c>
      <c r="C8" s="27"/>
      <c r="D8" s="28"/>
      <c r="E8" s="29"/>
      <c r="F8" s="30"/>
      <c r="G8" s="25"/>
      <c r="H8" s="25" t="str">
        <f t="shared" si="6"/>
        <v/>
      </c>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row>
    <row r="9" spans="1:64" s="3" customFormat="1" ht="21.75" thickBot="1" x14ac:dyDescent="0.3">
      <c r="A9" s="19"/>
      <c r="B9" s="31" t="inlineStr">
        <is>
          <t xml:space="preserve">Team formation &amp; clinical problem research</t>
        </is>
      </c>
      <c r="C9" s="32" t="inlineStr">
        <is>
          <t xml:space="preserve">All</t>
        </is>
      </c>
      <c r="D9" s="33">
        <v>1</v>
      </c>
      <c r="E9" s="34">
        <v>46237</v>
      </c>
      <c r="F9" s="35">
        <v>46241</v>
      </c>
      <c r="G9" s="25"/>
      <c r="H9" s="25">
        <f t="shared" si="6"/>
        <v>4</v>
      </c>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row>
    <row r="10" spans="1:64" s="3" customFormat="1" ht="21.75" thickBot="1" x14ac:dyDescent="0.3">
      <c r="A10" s="19"/>
      <c r="B10" s="31" t="inlineStr">
        <is>
          <t xml:space="preserve">Concept finalisation &amp; scope definition</t>
        </is>
      </c>
      <c r="C10" s="32" t="inlineStr">
        <is>
          <t xml:space="preserve">All</t>
        </is>
      </c>
      <c r="D10" s="33">
        <v>1</v>
      </c>
      <c r="E10" s="34">
        <v>46240</v>
      </c>
      <c r="F10" s="35">
        <v>46243</v>
      </c>
      <c r="G10" s="25"/>
      <c r="H10" s="25">
        <f t="shared" si="6"/>
        <v>3</v>
      </c>
      <c r="I10" s="82"/>
      <c r="J10" s="82"/>
      <c r="K10" s="82"/>
      <c r="L10" s="82"/>
      <c r="M10" s="82"/>
      <c r="N10" s="82"/>
      <c r="O10" s="82"/>
      <c r="P10" s="82"/>
      <c r="Q10" s="82"/>
      <c r="R10" s="82"/>
      <c r="S10" s="82"/>
      <c r="T10" s="82"/>
      <c r="U10" s="83"/>
      <c r="V10" s="83"/>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row>
    <row r="11" spans="1:64" s="3" customFormat="1" ht="21.75" thickBot="1" x14ac:dyDescent="0.3">
      <c r="A11" s="19"/>
      <c r="B11" s="31" t="inlineStr">
        <is>
          <t xml:space="preserve">Technology stack evaluation</t>
        </is>
      </c>
      <c r="C11" s="32" t="inlineStr">
        <is>
          <t xml:space="preserve">Shivansh, Ishaan</t>
        </is>
      </c>
      <c r="D11" s="33">
        <v>1</v>
      </c>
      <c r="E11" s="34">
        <v>46242</v>
      </c>
      <c r="F11" s="35">
        <v>46246</v>
      </c>
      <c r="G11" s="25"/>
      <c r="H11" s="25">
        <f t="shared" si="6"/>
        <v>5</v>
      </c>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row>
    <row r="12" spans="1:64" s="3" customFormat="1" ht="21.75" thickBot="1" x14ac:dyDescent="0.3">
      <c r="A12" s="19"/>
      <c r="B12" s="31" t="inlineStr">
        <is>
          <t xml:space="preserve">Repository setup &amp; course structure</t>
        </is>
      </c>
      <c r="C12" s="32" t="inlineStr">
        <is>
          <t xml:space="preserve">Shivansh</t>
        </is>
      </c>
      <c r="D12" s="33">
        <v>1</v>
      </c>
      <c r="E12" s="34">
        <v>46244</v>
      </c>
      <c r="F12" s="35">
        <v>46250</v>
      </c>
      <c r="G12" s="25"/>
      <c r="H12" s="25">
        <f t="shared" si="6"/>
        <v>6</v>
      </c>
      <c r="I12" s="82"/>
      <c r="J12" s="82"/>
      <c r="K12" s="82"/>
      <c r="L12" s="82"/>
      <c r="M12" s="82"/>
      <c r="N12" s="82"/>
      <c r="O12" s="82"/>
      <c r="P12" s="82"/>
      <c r="Q12" s="82"/>
      <c r="R12" s="82"/>
      <c r="S12" s="82"/>
      <c r="T12" s="82"/>
      <c r="U12" s="82"/>
      <c r="V12" s="82"/>
      <c r="W12" s="82"/>
      <c r="X12" s="82"/>
      <c r="Y12" s="83"/>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row>
    <row r="13" spans="1:64" s="3" customFormat="1" ht="21.75" thickBot="1" x14ac:dyDescent="0.3">
      <c r="A13" s="19"/>
      <c r="B13" s="31" t="inlineStr">
        <is>
          <t xml:space="preserve">Project README &amp; Git conventions</t>
        </is>
      </c>
      <c r="C13" s="32" t="inlineStr">
        <is>
          <t xml:space="preserve">Ishaan</t>
        </is>
      </c>
      <c r="D13" s="33">
        <v>1</v>
      </c>
      <c r="E13" s="34">
        <v>46246</v>
      </c>
      <c r="F13" s="35">
        <v>46250</v>
      </c>
      <c r="G13" s="25"/>
      <c r="H13" s="25">
        <f t="shared" si="6"/>
        <v>3</v>
      </c>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row>
    <row r="14" spans="1:64" s="3" customFormat="1" ht="21.75" thickBot="1" x14ac:dyDescent="0.3">
      <c r="A14" s="19"/>
      <c r="B14" s="36" t="inlineStr">
        <is>
          <t xml:space="preserve">PHASE 2: REQUIREMENTS &amp; SYSTEM MODELLING</t>
        </is>
      </c>
      <c r="C14" s="37"/>
      <c r="D14" s="38"/>
      <c r="E14" s="39"/>
      <c r="F14" s="40"/>
      <c r="G14" s="25"/>
      <c r="H14" s="25" t="str">
        <f t="shared" si="6"/>
        <v/>
      </c>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row>
    <row r="15" spans="1:64" s="3" customFormat="1" ht="21.75" thickBot="1" x14ac:dyDescent="0.3">
      <c r="A15" s="19"/>
      <c r="B15" s="41" t="inlineStr">
        <is>
          <t xml:space="preserve">Requirements elicitation &amp; documentation</t>
        </is>
      </c>
      <c r="C15" s="42" t="inlineStr">
        <is>
          <t xml:space="preserve">Ishaan</t>
        </is>
      </c>
      <c r="D15" s="43">
        <v>1</v>
      </c>
      <c r="E15" s="44">
        <v>46251</v>
      </c>
      <c r="F15" s="45">
        <v>46254</v>
      </c>
      <c r="G15" s="25"/>
      <c r="H15" s="25">
        <f t="shared" si="6"/>
        <v>5</v>
      </c>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row>
    <row r="16" spans="1:64" s="3" customFormat="1" ht="21.75" thickBot="1" x14ac:dyDescent="0.3">
      <c r="A16" s="19"/>
      <c r="B16" s="41" t="inlineStr">
        <is>
          <t xml:space="preserve">Project proposal draft (LaTeX)</t>
        </is>
      </c>
      <c r="C16" s="42" t="inlineStr">
        <is>
          <t xml:space="preserve">Ishaan</t>
        </is>
      </c>
      <c r="D16" s="43">
        <v>1</v>
      </c>
      <c r="E16" s="44">
        <v>46251</v>
      </c>
      <c r="F16" s="45">
        <v>46256</v>
      </c>
      <c r="G16" s="25"/>
      <c r="H16" s="25">
        <f t="shared" si="6"/>
        <v>6</v>
      </c>
      <c r="I16" s="82"/>
      <c r="J16" s="82"/>
      <c r="K16" s="82"/>
      <c r="L16" s="82"/>
      <c r="M16" s="82"/>
      <c r="N16" s="82"/>
      <c r="O16" s="82"/>
      <c r="P16" s="82"/>
      <c r="Q16" s="82"/>
      <c r="R16" s="82"/>
      <c r="S16" s="82"/>
      <c r="T16" s="82"/>
      <c r="U16" s="83"/>
      <c r="V16" s="83"/>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row>
    <row r="17" spans="1:64" s="3" customFormat="1" ht="21.75" thickBot="1" x14ac:dyDescent="0.3">
      <c r="A17" s="19"/>
      <c r="B17" s="41" t="inlineStr">
        <is>
          <t xml:space="preserve">Proposal formatting &amp; finalisation</t>
        </is>
      </c>
      <c r="C17" s="42" t="inlineStr">
        <is>
          <t xml:space="preserve">Shivansh</t>
        </is>
      </c>
      <c r="D17" s="43">
        <v>1</v>
      </c>
      <c r="E17" s="44">
        <v>46254</v>
      </c>
      <c r="F17" s="45">
        <v>46257</v>
      </c>
      <c r="G17" s="25"/>
      <c r="H17" s="25">
        <f t="shared" si="6"/>
        <v>4</v>
      </c>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row>
    <row r="18" spans="1:64" s="3" customFormat="1" ht="21.75" thickBot="1" x14ac:dyDescent="0.3">
      <c r="A18" s="19"/>
      <c r="B18" s="41" t="inlineStr">
        <is>
          <t xml:space="preserve">UML use case diagram</t>
        </is>
      </c>
      <c r="C18" s="42" t="inlineStr">
        <is>
          <t xml:space="preserve">Pushp</t>
        </is>
      </c>
      <c r="D18" s="43">
        <v>1</v>
      </c>
      <c r="E18" s="44">
        <v>46255</v>
      </c>
      <c r="F18" s="45">
        <v>46261</v>
      </c>
      <c r="G18" s="25"/>
      <c r="H18" s="25">
        <f t="shared" si="6"/>
        <v>3</v>
      </c>
      <c r="I18" s="82"/>
      <c r="J18" s="82"/>
      <c r="K18" s="82"/>
      <c r="L18" s="82"/>
      <c r="M18" s="82"/>
      <c r="N18" s="82"/>
      <c r="O18" s="82"/>
      <c r="P18" s="82"/>
      <c r="Q18" s="82"/>
      <c r="R18" s="82"/>
      <c r="S18" s="82"/>
      <c r="T18" s="82"/>
      <c r="U18" s="82"/>
      <c r="V18" s="82"/>
      <c r="W18" s="82"/>
      <c r="X18" s="82"/>
      <c r="Y18" s="83"/>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row>
    <row r="19" spans="1:64" s="3" customFormat="1" ht="21.75" thickBot="1" x14ac:dyDescent="0.3">
      <c r="A19" s="19"/>
      <c r="B19" s="41" t="inlineStr">
        <is>
          <t xml:space="preserve">Level 0 &amp; Level 1 data flow diagrams</t>
        </is>
      </c>
      <c r="C19" s="42" t="inlineStr">
        <is>
          <t xml:space="preserve">Ishaan</t>
        </is>
      </c>
      <c r="D19" s="43">
        <v>1</v>
      </c>
      <c r="E19" s="44">
        <v>46258</v>
      </c>
      <c r="F19" s="45">
        <v>46264</v>
      </c>
      <c r="G19" s="25"/>
      <c r="H19" s="25">
        <f t="shared" si="6"/>
        <v>4</v>
      </c>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row>
    <row r="20" spans="1:64" s="3" customFormat="1" ht="21.75" thickBot="1" x14ac:dyDescent="0.3">
      <c r="A20" s="19"/>
      <c r="B20" s="46" t="inlineStr">
        <is>
          <t xml:space="preserve">PHASE 3: BACKEND &amp; SPEECH ENGINE</t>
        </is>
      </c>
      <c r="C20" s="47"/>
      <c r="D20" s="48"/>
      <c r="E20" s="49"/>
      <c r="F20" s="50"/>
      <c r="G20" s="25"/>
      <c r="H20" s="25" t="str">
        <f t="shared" si="6"/>
        <v/>
      </c>
      <c r="I20" s="82"/>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row>
    <row r="21" spans="1:64" s="3" customFormat="1" ht="21.75" thickBot="1" x14ac:dyDescent="0.3">
      <c r="A21" s="19"/>
      <c r="B21" s="51" t="inlineStr">
        <is>
          <t xml:space="preserve">Activity diagram</t>
        </is>
      </c>
      <c r="C21" s="52" t="inlineStr">
        <is>
          <t xml:space="preserve">Pushp</t>
        </is>
      </c>
      <c r="D21" s="53">
        <v>1</v>
      </c>
      <c r="E21" s="54">
        <v>46261</v>
      </c>
      <c r="F21" s="55">
        <v>46265</v>
      </c>
      <c r="G21" s="25"/>
      <c r="H21" s="25">
        <f t="shared" si="6"/>
        <v>6</v>
      </c>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row>
    <row r="22" spans="1:64" s="3" customFormat="1" ht="21.75" thickBot="1" x14ac:dyDescent="0.3">
      <c r="A22" s="19"/>
      <c r="B22" s="51" t="inlineStr">
        <is>
          <t xml:space="preserve">FastAPI application setup</t>
        </is>
      </c>
      <c r="C22" s="52" t="inlineStr">
        <is>
          <t xml:space="preserve">Ishaan</t>
        </is>
      </c>
      <c r="D22" s="53">
        <v>1</v>
      </c>
      <c r="E22" s="54">
        <v>46265</v>
      </c>
      <c r="F22" s="55">
        <v>46268</v>
      </c>
      <c r="G22" s="25"/>
      <c r="H22" s="25">
        <f t="shared" si="6"/>
        <v>5</v>
      </c>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row>
    <row r="23" spans="1:64" s="3" customFormat="1" ht="21.75" thickBot="1" x14ac:dyDescent="0.3">
      <c r="A23" s="19"/>
      <c r="B23" s="51" t="inlineStr">
        <is>
          <t xml:space="preserve">faster-whisper integration (local, offline)</t>
        </is>
      </c>
      <c r="C23" s="52" t="inlineStr">
        <is>
          <t xml:space="preserve">Ishaan</t>
        </is>
      </c>
      <c r="D23" s="53">
        <v>1</v>
      </c>
      <c r="E23" s="54">
        <v>46266</v>
      </c>
      <c r="F23" s="55">
        <v>46271</v>
      </c>
      <c r="G23" s="25"/>
      <c r="H23" s="25">
        <f t="shared" si="6"/>
        <v>6</v>
      </c>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row>
    <row r="24" spans="1:64" s="3" customFormat="1" ht="21.75" thickBot="1" x14ac:dyDescent="0.3">
      <c r="A24" s="19"/>
      <c r="B24" s="51" t="inlineStr">
        <is>
          <t xml:space="preserve">POST /transcribe endpoint implementation</t>
        </is>
      </c>
      <c r="C24" s="52" t="inlineStr">
        <is>
          <t xml:space="preserve">Shivansh</t>
        </is>
      </c>
      <c r="D24" s="53">
        <v>1</v>
      </c>
      <c r="E24" s="54">
        <v>46267</v>
      </c>
      <c r="F24" s="55">
        <v>46271</v>
      </c>
      <c r="G24" s="25"/>
      <c r="H24" s="25">
        <f t="shared" si="6"/>
        <v>5</v>
      </c>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row>
    <row r="25" spans="1:64" s="3" customFormat="1" ht="21.75" thickBot="1" x14ac:dyDescent="0.3">
      <c r="A25" s="19"/>
      <c r="B25" s="51" t="inlineStr">
        <is>
          <t xml:space="preserve">Multilingual selection &amp; auto-detection</t>
        </is>
      </c>
      <c r="C25" s="52" t="inlineStr">
        <is>
          <t xml:space="preserve">Shivansh</t>
        </is>
      </c>
      <c r="D25" s="53">
        <v>1</v>
      </c>
      <c r="E25" s="54">
        <v>46269</v>
      </c>
      <c r="F25" s="55">
        <v>46271</v>
      </c>
      <c r="G25" s="25"/>
      <c r="H25" s="25">
        <f t="shared" si="6"/>
        <v>5</v>
      </c>
      <c r="I25" s="8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row>
    <row r="26" spans="1:64" s="3" customFormat="1" ht="21.75" thickBot="1" x14ac:dyDescent="0.3">
      <c r="A26" s="19"/>
      <c r="B26" s="56" t="inlineStr">
        <is>
          <t xml:space="preserve">PHASE 4: FRONTEND &amp; INTEGRATION</t>
        </is>
      </c>
      <c r="C26" s="57"/>
      <c r="D26" s="58"/>
      <c r="E26" s="59"/>
      <c r="F26" s="60"/>
      <c r="G26" s="25"/>
      <c r="H26" s="25" t="str">
        <f t="shared" si="6"/>
        <v/>
      </c>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row>
    <row r="27" spans="1:64" s="3" customFormat="1" ht="21.75" thickBot="1" x14ac:dyDescent="0.3">
      <c r="A27" s="19"/>
      <c r="B27" s="61" t="inlineStr">
        <is>
          <t xml:space="preserve">Demo page layout &amp; patient context</t>
        </is>
      </c>
      <c r="C27" s="62" t="inlineStr">
        <is>
          <t xml:space="preserve">Pushp</t>
        </is>
      </c>
      <c r="D27" s="63">
        <v>1</v>
      </c>
      <c r="E27" s="64">
        <v>46265</v>
      </c>
      <c r="F27" s="65">
        <v>46271</v>
      </c>
      <c r="G27" s="25"/>
      <c r="H27" s="25">
        <f t="shared" si="6"/>
        <v>6</v>
      </c>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row>
    <row r="28" spans="1:64" s="3" customFormat="1" ht="21.75" thickBot="1" x14ac:dyDescent="0.3">
      <c r="A28" s="19"/>
      <c r="B28" s="61" t="inlineStr">
        <is>
          <t xml:space="preserve">Microphone capture (MediaRecorder API)</t>
        </is>
      </c>
      <c r="C28" s="62" t="inlineStr">
        <is>
          <t xml:space="preserve">Pushp</t>
        </is>
      </c>
      <c r="D28" s="63">
        <v>1</v>
      </c>
      <c r="E28" s="64">
        <v>46272</v>
      </c>
      <c r="F28" s="65">
        <v>46274</v>
      </c>
      <c r="G28" s="25"/>
      <c r="H28" s="25">
        <f t="shared" si="6"/>
        <v>5</v>
      </c>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row>
    <row r="29" spans="1:64" s="3" customFormat="1" ht="21.75" thickBot="1" x14ac:dyDescent="0.3">
      <c r="A29" s="19"/>
      <c r="B29" s="61" t="inlineStr">
        <is>
          <t xml:space="preserve">Live Recording / Transcribing states</t>
        </is>
      </c>
      <c r="C29" s="62" t="inlineStr">
        <is>
          <t xml:space="preserve">Pushp</t>
        </is>
      </c>
      <c r="D29" s="63">
        <v>1</v>
      </c>
      <c r="E29" s="64">
        <v>46273</v>
      </c>
      <c r="F29" s="65">
        <v>46275</v>
      </c>
      <c r="G29" s="25"/>
      <c r="H29" s="25">
        <f t="shared" si="6"/>
        <v>4</v>
      </c>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row>
    <row r="30" spans="1:64" s="3" customFormat="1" ht="21.75" thickBot="1" x14ac:dyDescent="0.3">
      <c r="A30" s="19"/>
      <c r="B30" s="61" t="inlineStr">
        <is>
          <t xml:space="preserve">Transcript display &amp; handoff history</t>
        </is>
      </c>
      <c r="C30" s="62" t="inlineStr">
        <is>
          <t xml:space="preserve">Pushp</t>
        </is>
      </c>
      <c r="D30" s="63">
        <v>1</v>
      </c>
      <c r="E30" s="64">
        <v>46274</v>
      </c>
      <c r="F30" s="65">
        <v>46276</v>
      </c>
      <c r="G30" s="25"/>
      <c r="H30" s="25">
        <f t="shared" si="6"/>
        <v>4</v>
      </c>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row>
    <row r="31" spans="1:64" s="3" customFormat="1" ht="21.75" thickBot="1" x14ac:dyDescent="0.3">
      <c r="A31" s="19"/>
      <c r="B31" s="61" t="inlineStr">
        <is>
          <t xml:space="preserve">End-to-end pipeline testing &amp; verification</t>
        </is>
      </c>
      <c r="C31" s="62" t="inlineStr">
        <is>
          <t xml:space="preserve">Ishaan</t>
        </is>
      </c>
      <c r="D31" s="63">
        <v>1</v>
      </c>
      <c r="E31" s="64">
        <v>46274</v>
      </c>
      <c r="F31" s="65">
        <v>46278</v>
      </c>
      <c r="G31" s="25"/>
      <c r="H31" s="25">
        <f t="shared" si="6"/>
        <v>5</v>
      </c>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row>
    <row r="32" spans="1:64" s="3" customFormat="1" ht="21.75" thickBot="1" x14ac:dyDescent="0.3">
      <c r="A32" s="19"/>
      <c r="B32" s="66" t="inlineStr">
        <is>
          <t xml:space="preserve">PHASE 5: DEPLOYMENT &amp; EVALUATION</t>
        </is>
      </c>
      <c r="C32" s="67"/>
      <c r="D32" s="68"/>
      <c r="E32" s="69"/>
      <c r="F32" s="70"/>
      <c r="G32" s="25"/>
      <c r="H32" s="25" t="str">
        <f t="shared" si="6"/>
        <v/>
      </c>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row>
    <row r="33" spans="1:64" s="3" customFormat="1" ht="21.75" thickBot="1" x14ac:dyDescent="0.3">
      <c r="A33" s="19"/>
      <c r="B33" s="71" t="inlineStr">
        <is>
          <t xml:space="preserve">GitHub Pages deployment (GitHub Actions)</t>
        </is>
      </c>
      <c r="C33" s="72" t="inlineStr">
        <is>
          <t xml:space="preserve">Shivansh</t>
        </is>
      </c>
      <c r="D33" s="73">
        <v>1</v>
      </c>
      <c r="E33" s="74">
        <v>46272</v>
      </c>
      <c r="F33" s="75">
        <v>46278</v>
      </c>
      <c r="G33" s="25"/>
      <c r="H33" s="25">
        <f t="shared" si="6"/>
        <v>6</v>
      </c>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row>
    <row r="34" spans="1:64" s="3" customFormat="1" ht="21.75" thickBot="1" x14ac:dyDescent="0.3">
      <c r="A34" s="19"/>
      <c r="B34" s="71" t="inlineStr">
        <is>
          <t xml:space="preserve">Local HTTPS setup (mkcert)</t>
        </is>
      </c>
      <c r="C34" s="72" t="inlineStr">
        <is>
          <t xml:space="preserve">Shivansh</t>
        </is>
      </c>
      <c r="D34" s="73">
        <v>1</v>
      </c>
      <c r="E34" s="74">
        <v>46276</v>
      </c>
      <c r="F34" s="75">
        <v>46278</v>
      </c>
      <c r="G34" s="25"/>
      <c r="H34" s="25">
        <f t="shared" si="6"/>
        <v>3</v>
      </c>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row>
    <row r="35" spans="1:64" s="3" customFormat="1" ht="21.75" thickBot="1" x14ac:dyDescent="0.3">
      <c r="A35" s="19"/>
      <c r="B35" s="71" t="inlineStr">
        <is>
          <t xml:space="preserve">Entity-Relationship diagram design</t>
        </is>
      </c>
      <c r="C35" s="72" t="inlineStr">
        <is>
          <t xml:space="preserve">Shivansh</t>
        </is>
      </c>
      <c r="D35" s="73">
        <v>1</v>
      </c>
      <c r="E35" s="74">
        <v>46277</v>
      </c>
      <c r="F35" s="75">
        <v>46279</v>
      </c>
      <c r="G35" s="25"/>
      <c r="H35" s="25">
        <f t="shared" si="6"/>
        <v>6</v>
      </c>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row>
    <row r="36" spans="1:64" s="3" customFormat="1" ht="21.75" thickBot="1" x14ac:dyDescent="0.3">
      <c r="A36" s="19"/>
      <c r="B36" s="71" t="inlineStr">
        <is>
          <t xml:space="preserve">Documentation site &amp; weekly journals</t>
        </is>
      </c>
      <c r="C36" s="72" t="inlineStr">
        <is>
          <t xml:space="preserve">All</t>
        </is>
      </c>
      <c r="D36" s="73">
        <v>0.4</v>
      </c>
      <c r="E36" s="74">
        <v>46278</v>
      </c>
      <c r="F36" s="75">
        <v>46282</v>
      </c>
      <c r="G36" s="25"/>
      <c r="H36" s="25">
        <f t="shared" si="6"/>
        <v>6</v>
      </c>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row>
    <row r="37" spans="1:64" s="3" customFormat="1" ht="21.75" thickBot="1" x14ac:dyDescent="0.3">
      <c r="A37" s="19"/>
      <c r="B37" s="71" t="inlineStr">
        <is>
          <t xml:space="preserve">Prototype-stage evaluation</t>
        </is>
      </c>
      <c r="C37" s="72" t="inlineStr">
        <is>
          <t xml:space="preserve">All</t>
        </is>
      </c>
      <c r="D37" s="73">
        <v>0</v>
      </c>
      <c r="E37" s="74">
        <v>46283</v>
      </c>
      <c r="F37" s="75">
        <v>46285</v>
      </c>
      <c r="G37" s="25"/>
      <c r="H37" s="25">
        <f t="shared" si="6"/>
        <v>5</v>
      </c>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2"/>
    </row>
    <row r="38" spans="1:64" s="3" customFormat="1" ht="21.75" thickBot="1" x14ac:dyDescent="0.3">
      <c r="A38" s="19"/>
      <c r="B38" s="20"/>
      <c r="C38" s="21"/>
      <c r="D38" s="22"/>
      <c r="E38" s="23"/>
      <c r="F38" s="24"/>
      <c r="G38" s="25"/>
      <c r="H38" s="25" t="str">
        <f t="shared" si="6"/>
        <v/>
      </c>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row>
    <row r="39" spans="1:64" s="3" customFormat="1" ht="21.75" thickBot="1" x14ac:dyDescent="0.3">
      <c r="A39" s="19"/>
      <c r="B39" s="20"/>
      <c r="C39" s="21"/>
      <c r="D39" s="22"/>
      <c r="E39" s="23"/>
      <c r="F39" s="24"/>
      <c r="G39" s="25"/>
      <c r="H39" s="25" t="str">
        <f t="shared" si="6"/>
        <v/>
      </c>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row>
    <row r="40" spans="1:64" s="3" customFormat="1" ht="21.75" thickBot="1" x14ac:dyDescent="0.3">
      <c r="A40" s="19"/>
      <c r="B40" s="20"/>
      <c r="C40" s="21"/>
      <c r="D40" s="22"/>
      <c r="E40" s="23"/>
      <c r="F40" s="24"/>
      <c r="G40" s="25"/>
      <c r="H40" s="25" t="str">
        <f t="shared" si="6"/>
        <v/>
      </c>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row>
    <row r="41" spans="1:64" s="3" customFormat="1" ht="21.75" thickBot="1" x14ac:dyDescent="0.3">
      <c r="A41" s="19"/>
      <c r="B41" s="76"/>
      <c r="C41" s="77"/>
      <c r="D41" s="78"/>
      <c r="E41" s="79"/>
      <c r="F41" s="80"/>
      <c r="G41" s="81"/>
      <c r="H41" s="81" t="str">
        <f t="shared" si="6"/>
        <v/>
      </c>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row>
    <row r="42" spans="1:64" x14ac:dyDescent="0.25">
      <c r="A42" s="6"/>
      <c r="G42" s="6"/>
    </row>
    <row r="43" spans="1:64" x14ac:dyDescent="0.25">
      <c r="B43" s="17" t="s">
        <v>23</v>
      </c>
      <c r="C43" s="17"/>
      <c r="F43" s="97">
        <v>43113</v>
      </c>
    </row>
    <row r="44" spans="1:64" x14ac:dyDescent="0.25">
      <c r="B44" s="101" t="s">
        <v>28</v>
      </c>
      <c r="C44" s="18"/>
    </row>
    <row r="45" spans="1:64" x14ac:dyDescent="0.25">
      <c r="B45" s="100" t="s">
        <v>36</v>
      </c>
    </row>
  </sheetData>
  <mergeCells count="11">
    <mergeCell ref="J1:AA1"/>
    <mergeCell ref="AK4:AQ4"/>
    <mergeCell ref="AR4:AX4"/>
    <mergeCell ref="AY4:BE4"/>
    <mergeCell ref="BF4:BL4"/>
    <mergeCell ref="E2:F2"/>
    <mergeCell ref="I4:O4"/>
    <mergeCell ref="P4:V4"/>
    <mergeCell ref="W4:AC4"/>
    <mergeCell ref="AD4:AJ4"/>
    <mergeCell ref="E3:F3"/>
  </mergeCells>
  <conditionalFormatting sqref="D7:D41">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7:BL41">
    <cfRule type="expression" dxfId="2" priority="25">
      <formula>AND(task_start&lt;=I$5,ROUNDDOWN((task_end-task_start+1)*task_progress,0)+task_start-1&gt;=I$5)</formula>
    </cfRule>
    <cfRule type="expression" dxfId="1" priority="26" stopIfTrue="1">
      <formula>AND(task_end&gt;=I$5,task_start&lt;I$5+1)</formula>
    </cfRule>
  </conditionalFormatting>
  <conditionalFormatting sqref="I5:BL41">
    <cfRule type="expression" dxfId="0" priority="27">
      <formula>AND(today&gt;=I$5,today&lt;I$5+1)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4" r:id="rId1" xr:uid="{00000000-0004-0000-0000-000000000000}"/>
    <hyperlink ref="B43"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RowHeight="12.75" x14ac:dyDescent="0.2"/>
  <cols>
    <col min="1" max="1" width="2.85546875" style="86" customWidth="1"/>
    <col min="2" max="2" width="87.140625" style="93" customWidth="1"/>
    <col min="3" max="16384" width="9.140625" style="86"/>
  </cols>
  <sheetData>
    <row r="1" spans="2:3" ht="46.5" customHeight="1" x14ac:dyDescent="0.2">
      <c r="B1" s="85"/>
    </row>
    <row r="2" spans="2:3" s="88" customFormat="1" ht="15.75" x14ac:dyDescent="0.25">
      <c r="B2" s="87" t="s">
        <v>23</v>
      </c>
      <c r="C2" s="87"/>
    </row>
    <row r="3" spans="2:3" s="90" customFormat="1" ht="13.5" customHeight="1" x14ac:dyDescent="0.25">
      <c r="B3" s="89" t="s">
        <v>28</v>
      </c>
      <c r="C3" s="89"/>
    </row>
    <row r="4" spans="2:3" x14ac:dyDescent="0.2">
      <c r="B4" s="99" t="s">
        <v>36</v>
      </c>
    </row>
    <row r="5" spans="2:3" x14ac:dyDescent="0.2">
      <c r="B5" s="85"/>
    </row>
    <row r="6" spans="2:3" s="91" customFormat="1" ht="26.25" x14ac:dyDescent="0.4">
      <c r="B6" s="94" t="s">
        <v>22</v>
      </c>
    </row>
    <row r="7" spans="2:3" ht="60" x14ac:dyDescent="0.2">
      <c r="B7" s="95" t="s">
        <v>31</v>
      </c>
    </row>
    <row r="8" spans="2:3" ht="15" x14ac:dyDescent="0.2">
      <c r="B8" s="92"/>
    </row>
    <row r="9" spans="2:3" s="91" customFormat="1" ht="26.25" x14ac:dyDescent="0.4">
      <c r="B9" s="94" t="s">
        <v>24</v>
      </c>
    </row>
    <row r="10" spans="2:3" ht="60" x14ac:dyDescent="0.2">
      <c r="B10" s="95" t="s">
        <v>34</v>
      </c>
    </row>
    <row r="11" spans="2:3" ht="14.25" x14ac:dyDescent="0.2">
      <c r="B11" s="96" t="s">
        <v>30</v>
      </c>
    </row>
    <row r="12" spans="2:3" ht="15" x14ac:dyDescent="0.2">
      <c r="B12" s="92"/>
    </row>
    <row r="13" spans="2:3" ht="14.25" x14ac:dyDescent="0.2">
      <c r="B13" s="108" t="str">
        <f>HYPERLINK("https://vertex42.link/HowToMakeAGanttChart","► Watch How This Gantt Chart Was Created")</f>
        <v>► Watch How This Gantt Chart Was Created</v>
      </c>
    </row>
    <row r="14" spans="2:3" ht="15" x14ac:dyDescent="0.2">
      <c r="B14" s="92"/>
    </row>
    <row r="15" spans="2:3" s="91" customFormat="1" ht="26.25" x14ac:dyDescent="0.4">
      <c r="B15" s="94" t="s">
        <v>21</v>
      </c>
    </row>
    <row r="16" spans="2:3" ht="30" x14ac:dyDescent="0.2">
      <c r="B16" s="95" t="s">
        <v>29</v>
      </c>
    </row>
    <row r="17" spans="2:2" ht="14.25" x14ac:dyDescent="0.2">
      <c r="B17" s="96" t="s">
        <v>14</v>
      </c>
    </row>
    <row r="18" spans="2:2" ht="15" x14ac:dyDescent="0.2">
      <c r="B18" s="92"/>
    </row>
    <row r="19" spans="2:2" s="91" customFormat="1" ht="26.25" x14ac:dyDescent="0.4">
      <c r="B19" s="94" t="s">
        <v>25</v>
      </c>
    </row>
    <row r="20" spans="2:2" ht="60" x14ac:dyDescent="0.2">
      <c r="B20" s="95" t="s">
        <v>26</v>
      </c>
    </row>
    <row r="21" spans="2:2" ht="15" x14ac:dyDescent="0.2">
      <c r="B21" s="92"/>
    </row>
    <row r="22" spans="2:2" ht="75" x14ac:dyDescent="0.2">
      <c r="B22" s="95" t="s">
        <v>27</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Vertex42.com Templates</cp:lastModifiedBy>
  <cp:lastPrinted>2019-04-24T14:39:40Z</cp:lastPrinted>
  <dcterms:created xsi:type="dcterms:W3CDTF">2017-01-09T18:01:51Z</dcterms:created>
  <dcterms:modified xsi:type="dcterms:W3CDTF">2019-11-26T05:04:01Z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